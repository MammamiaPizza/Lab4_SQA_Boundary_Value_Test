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QA\Lab4\"/>
    </mc:Choice>
  </mc:AlternateContent>
  <xr:revisionPtr revIDLastSave="0" documentId="13_ncr:1_{C53E3A14-422E-45B1-B354-047373D3979F}" xr6:coauthVersionLast="47" xr6:coauthVersionMax="47" xr10:uidLastSave="{00000000-0000-0000-0000-000000000000}"/>
  <bookViews>
    <workbookView xWindow="-108" yWindow="-108" windowWidth="23256" windowHeight="13176" firstSheet="1" activeTab="1" xr2:uid="{2D3B1ECF-CE0B-884D-A6E2-5EDB198A06FE}"/>
  </bookViews>
  <sheets>
    <sheet name="Test Summary" sheetId="4" r:id="rId1"/>
    <sheet name="Normal" sheetId="1" r:id="rId2"/>
    <sheet name="Robustness" sheetId="2" r:id="rId3"/>
    <sheet name="Defect 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E26" i="2"/>
  <c r="E25" i="2"/>
  <c r="E24" i="2"/>
  <c r="E23" i="2"/>
  <c r="E20" i="2"/>
  <c r="E19" i="2"/>
  <c r="E18" i="2"/>
  <c r="E17" i="2"/>
  <c r="E15" i="2"/>
  <c r="E14" i="2"/>
  <c r="E13" i="2"/>
  <c r="E12" i="2"/>
  <c r="E11" i="2"/>
  <c r="E10" i="2"/>
  <c r="E21" i="1"/>
  <c r="E20" i="1"/>
  <c r="E19" i="1"/>
  <c r="E18" i="1"/>
  <c r="E17" i="1"/>
  <c r="E16" i="1"/>
  <c r="E15" i="1"/>
  <c r="E14" i="1"/>
  <c r="E11" i="1"/>
  <c r="E13" i="1"/>
  <c r="E12" i="1"/>
  <c r="E9" i="1"/>
  <c r="E10" i="1"/>
</calcChain>
</file>

<file path=xl/sharedStrings.xml><?xml version="1.0" encoding="utf-8"?>
<sst xmlns="http://schemas.openxmlformats.org/spreadsheetml/2006/main" count="118" uniqueCount="72">
  <si>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</si>
  <si>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</si>
  <si>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</si>
  <si>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</si>
  <si>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</si>
  <si>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max+</t>
  </si>
  <si>
    <t>max</t>
  </si>
  <si>
    <t>max-</t>
  </si>
  <si>
    <t>nom</t>
  </si>
  <si>
    <t>min+</t>
  </si>
  <si>
    <t>min</t>
  </si>
  <si>
    <t>min-</t>
  </si>
  <si>
    <t>Test Case ID</t>
  </si>
  <si>
    <t>Input</t>
  </si>
  <si>
    <t>Expected Result</t>
  </si>
  <si>
    <t>Actual Result</t>
  </si>
  <si>
    <t>Status (Pass/Fail/No run)</t>
  </si>
  <si>
    <t>Date:</t>
  </si>
  <si>
    <t>Functional testing - Normal Boundary Value Testing</t>
  </si>
  <si>
    <t>Functional testing - Robustness Testing</t>
  </si>
  <si>
    <t>Lab 4.2</t>
  </si>
  <si>
    <t xml:space="preserve">Student ID: </t>
  </si>
  <si>
    <t>Lab 4.1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</si>
  <si>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</si>
  <si>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</si>
  <si>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</si>
  <si>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</si>
  <si>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</si>
  <si>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</si>
  <si>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</si>
  <si>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</si>
  <si>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</si>
  <si>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</si>
  <si>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</si>
  <si>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</si>
  <si>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</si>
  <si>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</si>
  <si>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</si>
  <si>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</si>
  <si>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</si>
  <si>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</si>
  <si>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Test Strategy</t>
  </si>
  <si>
    <t>Normal Boundary Value Testing</t>
  </si>
  <si>
    <t>Robustness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</si>
  <si>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</si>
  <si>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</si>
  <si>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</si>
  <si>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</si>
  <si>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</si>
  <si>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</si>
  <si>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</si>
  <si>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</si>
  <si>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</si>
  <si>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</si>
  <si>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</si>
  <si>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</si>
  <si>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</si>
  <si>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</si>
  <si>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</si>
  <si>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</si>
  <si>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</si>
  <si>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</si>
  <si>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</si>
  <si>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VO2 Max</t>
  </si>
  <si>
    <t>RHR</t>
  </si>
  <si>
    <t>HRR</t>
  </si>
  <si>
    <t>673380271-3</t>
  </si>
  <si>
    <t>ธนภูมิ แทนทุมมา</t>
  </si>
  <si>
    <t>java 26.0.1 2026-04-21, window 11</t>
  </si>
  <si>
    <t>ค่า VO2 Max ไม่อยู่ในขอบเขต</t>
  </si>
  <si>
    <t>ค่า RHR ไม่อยู่ในขอบเขตค่าที่กำหนด</t>
  </si>
  <si>
    <t>ค่า HRR ไม่อยู่ในขอบเขตค่าที่กำหนด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</si>
</sst>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14" fontId="2" fillId="0" borderId="1" xfId="0" applyNumberFormat="1" applyFont="1" applyBorder="1"/>
    <xf numFmtId="0" fontId="8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/>
  </cellXfs>
  <cellStyles count="4">
    <cellStyle name="Hyperlink" xfId="3" builtinId="8"/>
    <cellStyle name="Normal" xfId="0" builtinId="0"/>
    <cellStyle name="Normal 3 4" xfId="1" xr:uid="{DD4AD2A2-321B-5F4E-AAE1-B5C53296010C}"/>
    <cellStyle name="Normal_ftest" xfId="2" xr:uid="{2E60872E-C109-5D40-AEB9-649A4B5FF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6"/>
  <sheetViews>
    <sheetView zoomScale="85" zoomScaleNormal="85" workbookViewId="0">
      <selection activeCell="B6" sqref="B6"/>
    </sheetView>
  </sheetViews>
  <sheetFormatPr defaultColWidth="9.19921875" defaultRowHeight="27" x14ac:dyDescent="0.75"/>
  <cols>
    <col min="1" max="1" width="33.796875" style="1" customWidth="1"/>
    <col min="2" max="2" width="17.19921875" style="1" customWidth="1"/>
    <col min="3" max="6" width="9.19921875" style="1"/>
    <col min="7" max="7" width="21.796875" style="1" customWidth="1"/>
    <col min="8" max="16384" width="9.19921875" style="1"/>
  </cols>
  <sheetData>
    <row r="2" spans="1:7" ht="54" x14ac:dyDescent="0.75">
      <c r="A2" s="13" t="s">
        <v>41</v>
      </c>
      <c r="B2" s="14" t="s">
        <v>34</v>
      </c>
      <c r="C2" s="15" t="s">
        <v>35</v>
      </c>
      <c r="D2" s="15" t="s">
        <v>36</v>
      </c>
      <c r="E2" s="15" t="s">
        <v>37</v>
      </c>
      <c r="F2" s="15" t="s">
        <v>38</v>
      </c>
      <c r="G2" s="16" t="s">
        <v>39</v>
      </c>
    </row>
    <row r="3" spans="1:7" x14ac:dyDescent="0.75">
      <c r="A3" s="3" t="s">
        <v>42</v>
      </c>
      <c r="B3" s="3">
        <v>13</v>
      </c>
      <c r="C3" s="3"/>
      <c r="D3" s="3"/>
      <c r="E3" s="3"/>
      <c r="F3" s="3"/>
      <c r="G3" s="17"/>
    </row>
    <row r="4" spans="1:7" x14ac:dyDescent="0.75">
      <c r="A4" s="3" t="s">
        <v>43</v>
      </c>
      <c r="B4" s="3">
        <v>19</v>
      </c>
      <c r="C4" s="6"/>
      <c r="D4" s="6"/>
      <c r="E4" s="6"/>
      <c r="F4" s="6"/>
      <c r="G4" s="6"/>
    </row>
    <row r="5" spans="1:7" x14ac:dyDescent="0.75">
      <c r="A5" s="6"/>
      <c r="B5" s="6"/>
      <c r="C5" s="6"/>
      <c r="D5" s="6"/>
      <c r="E5" s="6"/>
      <c r="F5" s="6"/>
      <c r="G5" s="6"/>
    </row>
    <row r="6" spans="1:7" x14ac:dyDescent="0.75">
      <c r="A6" s="21" t="s">
        <v>40</v>
      </c>
      <c r="B6" s="3">
        <v>32</v>
      </c>
      <c r="C6" s="18"/>
      <c r="D6" s="19"/>
      <c r="E6" s="6"/>
      <c r="F6" s="6"/>
      <c r="G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M28"/>
  <sheetViews>
    <sheetView tabSelected="1" topLeftCell="A7" zoomScale="70" zoomScaleNormal="70" workbookViewId="0">
      <selection activeCell="B9" sqref="B9:E21"/>
    </sheetView>
  </sheetViews>
  <sheetFormatPr defaultColWidth="10.796875" defaultRowHeight="27" x14ac:dyDescent="0.75"/>
  <cols>
    <col min="1" max="1" width="20.3984375" style="1" bestFit="1" customWidth="1"/>
    <col min="2" max="4" width="21.296875" style="1" customWidth="1"/>
    <col min="5" max="5" width="23.5" style="1" customWidth="1"/>
    <col min="6" max="6" width="20.19921875" style="1" customWidth="1"/>
    <col min="7" max="7" width="25.19921875" style="1" customWidth="1"/>
    <col min="8" max="10" width="10.796875" style="1"/>
    <col min="11" max="11" width="15.296875" style="1" customWidth="1"/>
    <col min="12" max="12" width="10.796875" style="1"/>
    <col min="13" max="13" width="16.5" style="1" customWidth="1"/>
    <col min="14" max="16384" width="10.796875" style="1"/>
  </cols>
  <sheetData>
    <row r="1" spans="1:13" x14ac:dyDescent="0.75">
      <c r="A1" s="25" t="s">
        <v>0</v>
      </c>
      <c r="B1" s="26"/>
      <c r="C1" s="26"/>
      <c r="D1" s="26"/>
      <c r="E1" s="26"/>
      <c r="F1" s="26"/>
      <c r="G1" s="27"/>
      <c r="J1" s="2"/>
      <c r="K1" s="8" t="s">
        <v>63</v>
      </c>
      <c r="L1" s="8" t="s">
        <v>64</v>
      </c>
      <c r="M1" s="8" t="s">
        <v>65</v>
      </c>
    </row>
    <row r="2" spans="1:13" x14ac:dyDescent="0.75">
      <c r="G2" s="4"/>
      <c r="J2" s="3" t="s">
        <v>11</v>
      </c>
      <c r="K2" s="6">
        <v>-1</v>
      </c>
      <c r="L2" s="1">
        <v>39</v>
      </c>
      <c r="M2" s="6">
        <v>-1</v>
      </c>
    </row>
    <row r="3" spans="1:13" x14ac:dyDescent="0.75">
      <c r="A3" s="5" t="s">
        <v>1</v>
      </c>
      <c r="B3" s="28" t="s">
        <v>22</v>
      </c>
      <c r="C3" s="29"/>
      <c r="D3" s="29"/>
      <c r="E3" s="29"/>
      <c r="F3" s="5" t="s">
        <v>21</v>
      </c>
      <c r="G3" s="6" t="s">
        <v>66</v>
      </c>
      <c r="J3" s="3" t="s">
        <v>10</v>
      </c>
      <c r="K3" s="6">
        <v>0</v>
      </c>
      <c r="L3" s="6">
        <v>40</v>
      </c>
      <c r="M3" s="6">
        <v>0</v>
      </c>
    </row>
    <row r="4" spans="1:13" x14ac:dyDescent="0.75">
      <c r="A4" s="5" t="s">
        <v>2</v>
      </c>
      <c r="B4" s="28" t="s">
        <v>18</v>
      </c>
      <c r="C4" s="29"/>
      <c r="D4" s="29"/>
      <c r="E4" s="29"/>
      <c r="F4" s="5" t="s">
        <v>3</v>
      </c>
      <c r="G4" s="6" t="s">
        <v>67</v>
      </c>
      <c r="J4" s="3" t="s">
        <v>9</v>
      </c>
      <c r="K4" s="6">
        <v>1</v>
      </c>
      <c r="L4" s="6">
        <v>41</v>
      </c>
      <c r="M4" s="6">
        <v>1</v>
      </c>
    </row>
    <row r="5" spans="1:13" x14ac:dyDescent="0.75">
      <c r="A5" s="7" t="s">
        <v>4</v>
      </c>
      <c r="B5" s="30" t="s">
        <v>68</v>
      </c>
      <c r="C5" s="31"/>
      <c r="D5" s="31"/>
      <c r="E5" s="32"/>
      <c r="F5" s="5" t="s">
        <v>17</v>
      </c>
      <c r="G5" s="23">
        <v>244544</v>
      </c>
      <c r="J5" s="3" t="s">
        <v>8</v>
      </c>
      <c r="K5" s="6">
        <v>31</v>
      </c>
      <c r="L5" s="6">
        <v>130</v>
      </c>
      <c r="M5" s="6">
        <v>15</v>
      </c>
    </row>
    <row r="6" spans="1:13" x14ac:dyDescent="0.75">
      <c r="J6" s="3" t="s">
        <v>7</v>
      </c>
      <c r="K6" s="6">
        <v>60</v>
      </c>
      <c r="L6" s="6">
        <v>219</v>
      </c>
      <c r="M6" s="6">
        <v>29</v>
      </c>
    </row>
    <row r="7" spans="1:13" ht="25.05" customHeight="1" x14ac:dyDescent="0.75">
      <c r="A7" s="33" t="s">
        <v>12</v>
      </c>
      <c r="B7" s="34" t="s">
        <v>13</v>
      </c>
      <c r="C7" s="34"/>
      <c r="D7" s="34"/>
      <c r="E7" s="33" t="s">
        <v>14</v>
      </c>
      <c r="F7" s="33" t="s">
        <v>15</v>
      </c>
      <c r="G7" s="35" t="s">
        <v>16</v>
      </c>
      <c r="J7" s="3" t="s">
        <v>6</v>
      </c>
      <c r="K7" s="6">
        <v>61</v>
      </c>
      <c r="L7" s="6">
        <v>220</v>
      </c>
      <c r="M7" s="6">
        <v>30</v>
      </c>
    </row>
    <row r="8" spans="1:13" x14ac:dyDescent="0.75">
      <c r="A8" s="33"/>
      <c r="B8" s="8" t="s">
        <v>63</v>
      </c>
      <c r="C8" s="8" t="s">
        <v>64</v>
      </c>
      <c r="D8" s="8" t="s">
        <v>65</v>
      </c>
      <c r="E8" s="33"/>
      <c r="F8" s="33"/>
      <c r="G8" s="35"/>
      <c r="J8" s="3" t="s">
        <v>5</v>
      </c>
      <c r="K8" s="6">
        <v>62</v>
      </c>
      <c r="L8" s="6">
        <v>221</v>
      </c>
      <c r="M8" s="6">
        <v>31</v>
      </c>
    </row>
    <row r="9" spans="1:13" x14ac:dyDescent="0.75">
      <c r="A9" s="6" t="s">
        <v>44</v>
      </c>
      <c r="B9" s="6">
        <v>0</v>
      </c>
      <c r="C9" s="6">
        <v>130</v>
      </c>
      <c r="D9" s="6">
        <v>15</v>
      </c>
      <c r="E9" s="6">
        <f>0+1+3</f>
        <v>4</v>
      </c>
      <c r="F9" s="6"/>
      <c r="G9" s="6"/>
    </row>
    <row r="10" spans="1:13" x14ac:dyDescent="0.75">
      <c r="A10" s="6" t="s">
        <v>45</v>
      </c>
      <c r="B10" s="6">
        <v>1</v>
      </c>
      <c r="C10" s="6">
        <v>130</v>
      </c>
      <c r="D10" s="6">
        <v>15</v>
      </c>
      <c r="E10" s="6">
        <f>0+1+3</f>
        <v>4</v>
      </c>
      <c r="F10" s="6"/>
      <c r="G10" s="6"/>
    </row>
    <row r="11" spans="1:13" x14ac:dyDescent="0.75">
      <c r="A11" s="6" t="s">
        <v>46</v>
      </c>
      <c r="B11" s="6">
        <v>31</v>
      </c>
      <c r="C11" s="6">
        <v>130</v>
      </c>
      <c r="D11" s="6">
        <v>15</v>
      </c>
      <c r="E11" s="6">
        <f>2+1+3</f>
        <v>6</v>
      </c>
      <c r="F11" s="6"/>
      <c r="G11" s="6"/>
      <c r="J11" s="2"/>
      <c r="K11" s="2"/>
      <c r="L11" s="2"/>
      <c r="M11" s="2"/>
    </row>
    <row r="12" spans="1:13" x14ac:dyDescent="0.75">
      <c r="A12" s="6" t="s">
        <v>47</v>
      </c>
      <c r="B12" s="6">
        <v>60</v>
      </c>
      <c r="C12" s="6">
        <v>130</v>
      </c>
      <c r="D12" s="6">
        <v>15</v>
      </c>
      <c r="E12" s="6">
        <f>4+1+3</f>
        <v>8</v>
      </c>
      <c r="F12" s="6"/>
      <c r="G12" s="6"/>
      <c r="J12" s="2"/>
      <c r="K12" s="2"/>
      <c r="L12" s="2"/>
      <c r="M12" s="2"/>
    </row>
    <row r="13" spans="1:13" x14ac:dyDescent="0.75">
      <c r="A13" s="6" t="s">
        <v>48</v>
      </c>
      <c r="B13" s="6">
        <v>61</v>
      </c>
      <c r="C13" s="6">
        <v>130</v>
      </c>
      <c r="D13" s="6">
        <v>15</v>
      </c>
      <c r="E13" s="6">
        <f>5+1+3</f>
        <v>9</v>
      </c>
      <c r="F13" s="6"/>
      <c r="G13" s="6"/>
      <c r="J13" s="2"/>
      <c r="K13" s="2"/>
      <c r="L13" s="2"/>
      <c r="M13" s="2"/>
    </row>
    <row r="14" spans="1:13" x14ac:dyDescent="0.75">
      <c r="A14" s="6" t="s">
        <v>49</v>
      </c>
      <c r="B14" s="6">
        <v>31</v>
      </c>
      <c r="C14" s="6">
        <v>40</v>
      </c>
      <c r="D14" s="6">
        <v>15</v>
      </c>
      <c r="E14" s="6">
        <f>2+5+3</f>
        <v>10</v>
      </c>
      <c r="F14" s="6"/>
      <c r="G14" s="6"/>
      <c r="J14" s="2"/>
      <c r="K14" s="2"/>
      <c r="L14" s="2"/>
      <c r="M14" s="2"/>
    </row>
    <row r="15" spans="1:13" x14ac:dyDescent="0.75">
      <c r="A15" s="6" t="s">
        <v>50</v>
      </c>
      <c r="B15" s="6">
        <v>31</v>
      </c>
      <c r="C15" s="6">
        <v>41</v>
      </c>
      <c r="D15" s="6">
        <v>15</v>
      </c>
      <c r="E15" s="6">
        <f>2+5+3</f>
        <v>10</v>
      </c>
      <c r="F15" s="6"/>
      <c r="G15" s="6"/>
      <c r="J15" s="2"/>
      <c r="K15" s="2"/>
      <c r="L15" s="2"/>
      <c r="M15" s="2"/>
    </row>
    <row r="16" spans="1:13" x14ac:dyDescent="0.75">
      <c r="A16" s="6" t="s">
        <v>51</v>
      </c>
      <c r="B16" s="6">
        <v>31</v>
      </c>
      <c r="C16" s="6">
        <v>219</v>
      </c>
      <c r="D16" s="6">
        <v>15</v>
      </c>
      <c r="E16" s="6">
        <f>2+1+3</f>
        <v>6</v>
      </c>
      <c r="F16" s="6"/>
      <c r="G16" s="6"/>
      <c r="J16" s="2"/>
      <c r="K16" s="2"/>
      <c r="L16" s="2"/>
      <c r="M16" s="2"/>
    </row>
    <row r="17" spans="1:13" x14ac:dyDescent="0.75">
      <c r="A17" s="6" t="s">
        <v>52</v>
      </c>
      <c r="B17" s="6">
        <v>31</v>
      </c>
      <c r="C17" s="6">
        <v>220</v>
      </c>
      <c r="D17" s="6">
        <v>15</v>
      </c>
      <c r="E17" s="6">
        <f>2+1+3</f>
        <v>6</v>
      </c>
      <c r="F17" s="6"/>
      <c r="G17" s="6"/>
      <c r="J17" s="2"/>
    </row>
    <row r="18" spans="1:13" x14ac:dyDescent="0.75">
      <c r="A18" s="6" t="s">
        <v>53</v>
      </c>
      <c r="B18" s="6">
        <v>31</v>
      </c>
      <c r="C18" s="6">
        <v>130</v>
      </c>
      <c r="D18" s="6">
        <v>0</v>
      </c>
      <c r="E18" s="6">
        <f>2+1+1</f>
        <v>4</v>
      </c>
      <c r="F18" s="6"/>
      <c r="G18" s="6"/>
      <c r="J18" s="2"/>
      <c r="K18" s="2"/>
      <c r="L18" s="2"/>
      <c r="M18" s="2"/>
    </row>
    <row r="19" spans="1:13" x14ac:dyDescent="0.75">
      <c r="A19" s="6" t="s">
        <v>54</v>
      </c>
      <c r="B19" s="6">
        <v>31</v>
      </c>
      <c r="C19" s="6">
        <v>130</v>
      </c>
      <c r="D19" s="6">
        <v>1</v>
      </c>
      <c r="E19" s="6">
        <f>2+1+1</f>
        <v>4</v>
      </c>
      <c r="F19" s="6"/>
      <c r="G19" s="6"/>
    </row>
    <row r="20" spans="1:13" x14ac:dyDescent="0.75">
      <c r="A20" s="6" t="s">
        <v>55</v>
      </c>
      <c r="B20" s="6">
        <v>31</v>
      </c>
      <c r="C20" s="6">
        <v>130</v>
      </c>
      <c r="D20" s="6">
        <v>29</v>
      </c>
      <c r="E20" s="6">
        <f>2+1+5</f>
        <v>8</v>
      </c>
      <c r="F20" s="6"/>
      <c r="G20" s="6"/>
    </row>
    <row r="21" spans="1:13" x14ac:dyDescent="0.75">
      <c r="A21" s="6" t="s">
        <v>56</v>
      </c>
      <c r="B21" s="6">
        <v>31</v>
      </c>
      <c r="C21" s="6">
        <v>130</v>
      </c>
      <c r="D21" s="6">
        <v>30</v>
      </c>
      <c r="E21" s="6">
        <f>2+1+5</f>
        <v>8</v>
      </c>
      <c r="F21" s="6"/>
      <c r="G21" s="6"/>
      <c r="J21" s="2"/>
      <c r="K21" s="2"/>
      <c r="L21" s="2"/>
      <c r="M21" s="2"/>
    </row>
    <row r="22" spans="1:13" x14ac:dyDescent="0.75">
      <c r="J22" s="2"/>
      <c r="K22" s="2"/>
      <c r="L22" s="2"/>
      <c r="M22" s="2"/>
    </row>
    <row r="23" spans="1:13" x14ac:dyDescent="0.75">
      <c r="B23" s="1" t="str">
        <f>"B9"</f>
        <v>B9</v>
      </c>
      <c r="J23" s="2"/>
      <c r="K23" s="2"/>
      <c r="L23" s="2"/>
      <c r="M23" s="2"/>
    </row>
    <row r="24" spans="1:13" x14ac:dyDescent="0.75">
      <c r="J24" s="2"/>
      <c r="K24" s="2"/>
      <c r="L24" s="2"/>
      <c r="M24" s="2"/>
    </row>
    <row r="25" spans="1:13" x14ac:dyDescent="0.75">
      <c r="J25" s="2"/>
      <c r="K25" s="2"/>
      <c r="L25" s="2"/>
      <c r="M25" s="2"/>
    </row>
    <row r="26" spans="1:13" x14ac:dyDescent="0.75">
      <c r="J26" s="2"/>
      <c r="K26" s="2"/>
      <c r="L26" s="2"/>
      <c r="M26" s="2"/>
    </row>
    <row r="27" spans="1:13" x14ac:dyDescent="0.75">
      <c r="J27" s="2"/>
    </row>
    <row r="28" spans="1:13" x14ac:dyDescent="0.75">
      <c r="J28" s="2"/>
      <c r="K28" s="2"/>
      <c r="L28" s="2"/>
      <c r="M28" s="2"/>
    </row>
  </sheetData>
  <mergeCells count="9">
    <mergeCell ref="A1:G1"/>
    <mergeCell ref="B5:E5"/>
    <mergeCell ref="B3:E3"/>
    <mergeCell ref="B4:E4"/>
    <mergeCell ref="B7:D7"/>
    <mergeCell ref="E7:E8"/>
    <mergeCell ref="F7:F8"/>
    <mergeCell ref="G7:G8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C6A-99BA-484C-B915-27B6FC4D32AF}">
  <dimension ref="A1:M28"/>
  <sheetViews>
    <sheetView topLeftCell="A10" zoomScale="70" zoomScaleNormal="70" workbookViewId="0">
      <selection activeCell="E23" sqref="E23:E26"/>
    </sheetView>
  </sheetViews>
  <sheetFormatPr defaultColWidth="10.796875" defaultRowHeight="27" x14ac:dyDescent="0.75"/>
  <cols>
    <col min="1" max="1" width="19.796875" style="1" customWidth="1"/>
    <col min="2" max="4" width="21.296875" style="1" customWidth="1"/>
    <col min="5" max="5" width="45.5" style="1" bestFit="1" customWidth="1"/>
    <col min="6" max="6" width="20.19921875" style="1" customWidth="1"/>
    <col min="7" max="7" width="25.19921875" style="1" customWidth="1"/>
    <col min="8" max="10" width="10.796875" style="1"/>
    <col min="11" max="11" width="15.296875" style="1" customWidth="1"/>
    <col min="12" max="12" width="10.796875" style="1"/>
    <col min="13" max="13" width="16.5" style="1" customWidth="1"/>
    <col min="14" max="16384" width="10.796875" style="1"/>
  </cols>
  <sheetData>
    <row r="1" spans="1:13" x14ac:dyDescent="0.75">
      <c r="A1" s="25" t="s">
        <v>0</v>
      </c>
      <c r="B1" s="26"/>
      <c r="C1" s="26"/>
      <c r="D1" s="26"/>
      <c r="E1" s="26"/>
      <c r="F1" s="26"/>
      <c r="G1" s="27"/>
      <c r="J1" s="2"/>
      <c r="K1" s="8" t="s">
        <v>63</v>
      </c>
      <c r="L1" s="8" t="s">
        <v>64</v>
      </c>
      <c r="M1" s="8" t="s">
        <v>65</v>
      </c>
    </row>
    <row r="2" spans="1:13" x14ac:dyDescent="0.75">
      <c r="G2" s="4"/>
      <c r="J2" s="3" t="s">
        <v>11</v>
      </c>
      <c r="K2" s="6">
        <v>-1</v>
      </c>
      <c r="L2" s="1">
        <v>39</v>
      </c>
      <c r="M2" s="6">
        <v>-1</v>
      </c>
    </row>
    <row r="3" spans="1:13" x14ac:dyDescent="0.75">
      <c r="A3" s="5" t="s">
        <v>1</v>
      </c>
      <c r="B3" s="28" t="s">
        <v>20</v>
      </c>
      <c r="C3" s="29"/>
      <c r="D3" s="29"/>
      <c r="E3" s="29"/>
      <c r="F3" s="5" t="s">
        <v>21</v>
      </c>
      <c r="G3" s="6" t="s">
        <v>66</v>
      </c>
      <c r="J3" s="3" t="s">
        <v>10</v>
      </c>
      <c r="K3" s="6">
        <v>0</v>
      </c>
      <c r="L3" s="6">
        <v>40</v>
      </c>
      <c r="M3" s="6">
        <v>0</v>
      </c>
    </row>
    <row r="4" spans="1:13" x14ac:dyDescent="0.75">
      <c r="A4" s="5" t="s">
        <v>2</v>
      </c>
      <c r="B4" s="28" t="s">
        <v>19</v>
      </c>
      <c r="C4" s="29"/>
      <c r="D4" s="29"/>
      <c r="E4" s="29"/>
      <c r="F4" s="5" t="s">
        <v>3</v>
      </c>
      <c r="G4" s="6" t="s">
        <v>67</v>
      </c>
      <c r="J4" s="3" t="s">
        <v>9</v>
      </c>
      <c r="K4" s="6">
        <v>1</v>
      </c>
      <c r="L4" s="6">
        <v>41</v>
      </c>
      <c r="M4" s="6">
        <v>1</v>
      </c>
    </row>
    <row r="5" spans="1:13" x14ac:dyDescent="0.75">
      <c r="A5" s="7" t="s">
        <v>4</v>
      </c>
      <c r="B5" s="30" t="s">
        <v>68</v>
      </c>
      <c r="C5" s="31"/>
      <c r="D5" s="31"/>
      <c r="E5" s="32"/>
      <c r="F5" s="5" t="s">
        <v>17</v>
      </c>
      <c r="G5" s="23">
        <v>244544</v>
      </c>
      <c r="J5" s="3" t="s">
        <v>8</v>
      </c>
      <c r="K5" s="6">
        <v>31</v>
      </c>
      <c r="L5" s="6">
        <v>130</v>
      </c>
      <c r="M5" s="6">
        <v>15</v>
      </c>
    </row>
    <row r="6" spans="1:13" x14ac:dyDescent="0.75">
      <c r="J6" s="3" t="s">
        <v>7</v>
      </c>
      <c r="K6" s="6">
        <v>60</v>
      </c>
      <c r="L6" s="6">
        <v>219</v>
      </c>
      <c r="M6" s="6">
        <v>29</v>
      </c>
    </row>
    <row r="7" spans="1:13" ht="25.05" customHeight="1" x14ac:dyDescent="0.75">
      <c r="A7" s="33" t="s">
        <v>12</v>
      </c>
      <c r="B7" s="34" t="s">
        <v>13</v>
      </c>
      <c r="C7" s="34"/>
      <c r="D7" s="34"/>
      <c r="E7" s="33" t="s">
        <v>14</v>
      </c>
      <c r="F7" s="33" t="s">
        <v>15</v>
      </c>
      <c r="G7" s="35" t="s">
        <v>16</v>
      </c>
      <c r="J7" s="3" t="s">
        <v>6</v>
      </c>
      <c r="K7" s="6">
        <v>61</v>
      </c>
      <c r="L7" s="6">
        <v>220</v>
      </c>
      <c r="M7" s="6">
        <v>30</v>
      </c>
    </row>
    <row r="8" spans="1:13" x14ac:dyDescent="0.75">
      <c r="A8" s="33"/>
      <c r="B8" s="8" t="s">
        <v>63</v>
      </c>
      <c r="C8" s="8" t="s">
        <v>64</v>
      </c>
      <c r="D8" s="8" t="s">
        <v>65</v>
      </c>
      <c r="E8" s="33"/>
      <c r="F8" s="33"/>
      <c r="G8" s="35"/>
      <c r="J8" s="3" t="s">
        <v>5</v>
      </c>
      <c r="K8" s="6">
        <v>62</v>
      </c>
      <c r="L8" s="6">
        <v>221</v>
      </c>
      <c r="M8" s="6">
        <v>31</v>
      </c>
    </row>
    <row r="9" spans="1:13" x14ac:dyDescent="0.75">
      <c r="A9" s="6" t="s">
        <v>44</v>
      </c>
      <c r="B9" s="6">
        <v>-1</v>
      </c>
      <c r="C9" s="6">
        <v>130</v>
      </c>
      <c r="D9" s="6">
        <v>15</v>
      </c>
      <c r="E9" s="36" t="s">
        <v>69</v>
      </c>
      <c r="F9" s="6"/>
      <c r="G9" s="6"/>
    </row>
    <row r="10" spans="1:13" x14ac:dyDescent="0.75">
      <c r="A10" s="6" t="s">
        <v>45</v>
      </c>
      <c r="B10" s="6">
        <v>0</v>
      </c>
      <c r="C10" s="6">
        <v>130</v>
      </c>
      <c r="D10" s="6">
        <v>15</v>
      </c>
      <c r="E10" s="6">
        <f>0+1+3</f>
        <v>4</v>
      </c>
      <c r="F10" s="6"/>
      <c r="G10" s="6"/>
    </row>
    <row r="11" spans="1:13" x14ac:dyDescent="0.75">
      <c r="A11" s="6" t="s">
        <v>46</v>
      </c>
      <c r="B11" s="6">
        <v>1</v>
      </c>
      <c r="C11" s="6">
        <v>130</v>
      </c>
      <c r="D11" s="6">
        <v>15</v>
      </c>
      <c r="E11" s="6">
        <f>0+1+3</f>
        <v>4</v>
      </c>
      <c r="F11" s="6"/>
      <c r="G11" s="6"/>
      <c r="J11" s="2"/>
      <c r="K11" s="2"/>
      <c r="L11" s="2"/>
      <c r="M11" s="2"/>
    </row>
    <row r="12" spans="1:13" x14ac:dyDescent="0.75">
      <c r="A12" s="6" t="s">
        <v>47</v>
      </c>
      <c r="B12" s="6">
        <v>31</v>
      </c>
      <c r="C12" s="6">
        <v>130</v>
      </c>
      <c r="D12" s="6">
        <v>15</v>
      </c>
      <c r="E12" s="6">
        <f>2+1+3</f>
        <v>6</v>
      </c>
      <c r="F12" s="6"/>
      <c r="G12" s="6"/>
      <c r="J12" s="2"/>
      <c r="K12" s="2"/>
      <c r="L12" s="2"/>
      <c r="M12" s="2"/>
    </row>
    <row r="13" spans="1:13" x14ac:dyDescent="0.75">
      <c r="A13" s="6" t="s">
        <v>48</v>
      </c>
      <c r="B13" s="6">
        <v>60</v>
      </c>
      <c r="C13" s="6">
        <v>130</v>
      </c>
      <c r="D13" s="6">
        <v>15</v>
      </c>
      <c r="E13" s="6">
        <f>4+1+3</f>
        <v>8</v>
      </c>
      <c r="F13" s="6"/>
      <c r="G13" s="6"/>
      <c r="J13" s="2"/>
      <c r="K13" s="2"/>
      <c r="L13" s="2"/>
      <c r="M13" s="2"/>
    </row>
    <row r="14" spans="1:13" x14ac:dyDescent="0.75">
      <c r="A14" s="6" t="s">
        <v>49</v>
      </c>
      <c r="B14" s="6">
        <v>61</v>
      </c>
      <c r="C14" s="6">
        <v>130</v>
      </c>
      <c r="D14" s="6">
        <v>15</v>
      </c>
      <c r="E14" s="6">
        <f>5+1+3</f>
        <v>9</v>
      </c>
      <c r="F14" s="6"/>
      <c r="G14" s="6"/>
      <c r="J14" s="2"/>
      <c r="K14" s="2"/>
      <c r="L14" s="2"/>
      <c r="M14" s="2"/>
    </row>
    <row r="15" spans="1:13" x14ac:dyDescent="0.75">
      <c r="A15" s="6" t="s">
        <v>50</v>
      </c>
      <c r="B15" s="6">
        <v>62</v>
      </c>
      <c r="C15" s="6">
        <v>130</v>
      </c>
      <c r="D15" s="6">
        <v>15</v>
      </c>
      <c r="E15" s="6">
        <f>5+1+3</f>
        <v>9</v>
      </c>
      <c r="F15" s="6"/>
      <c r="G15" s="6"/>
      <c r="J15" s="2"/>
      <c r="K15" s="2"/>
      <c r="L15" s="2"/>
      <c r="M15" s="2"/>
    </row>
    <row r="16" spans="1:13" x14ac:dyDescent="0.75">
      <c r="A16" s="6" t="s">
        <v>51</v>
      </c>
      <c r="B16" s="6">
        <v>31</v>
      </c>
      <c r="C16" s="6">
        <v>39</v>
      </c>
      <c r="D16" s="6">
        <v>15</v>
      </c>
      <c r="E16" s="24" t="s">
        <v>70</v>
      </c>
      <c r="F16" s="6"/>
      <c r="G16" s="6"/>
      <c r="J16" s="2"/>
      <c r="K16" s="2"/>
      <c r="L16" s="2"/>
      <c r="M16" s="2"/>
    </row>
    <row r="17" spans="1:13" x14ac:dyDescent="0.75">
      <c r="A17" s="6" t="s">
        <v>52</v>
      </c>
      <c r="B17" s="6">
        <v>31</v>
      </c>
      <c r="C17" s="6">
        <v>40</v>
      </c>
      <c r="D17" s="6">
        <v>15</v>
      </c>
      <c r="E17" s="6">
        <f>2+5+3</f>
        <v>10</v>
      </c>
      <c r="F17" s="6"/>
      <c r="G17" s="6"/>
      <c r="J17" s="2"/>
    </row>
    <row r="18" spans="1:13" x14ac:dyDescent="0.75">
      <c r="A18" s="6" t="s">
        <v>53</v>
      </c>
      <c r="B18" s="6">
        <v>31</v>
      </c>
      <c r="C18" s="6">
        <v>41</v>
      </c>
      <c r="D18" s="6">
        <v>15</v>
      </c>
      <c r="E18" s="6">
        <f>2+5+3</f>
        <v>10</v>
      </c>
      <c r="F18" s="6"/>
      <c r="G18" s="6"/>
      <c r="J18" s="2"/>
      <c r="K18" s="2"/>
      <c r="L18" s="2"/>
      <c r="M18" s="2"/>
    </row>
    <row r="19" spans="1:13" x14ac:dyDescent="0.75">
      <c r="A19" s="6" t="s">
        <v>54</v>
      </c>
      <c r="B19" s="6">
        <v>31</v>
      </c>
      <c r="C19" s="6">
        <v>219</v>
      </c>
      <c r="D19" s="6">
        <v>15</v>
      </c>
      <c r="E19" s="6">
        <f>2+1+3</f>
        <v>6</v>
      </c>
      <c r="F19" s="6"/>
      <c r="G19" s="6"/>
    </row>
    <row r="20" spans="1:13" x14ac:dyDescent="0.75">
      <c r="A20" s="6" t="s">
        <v>55</v>
      </c>
      <c r="B20" s="6">
        <v>31</v>
      </c>
      <c r="C20" s="6">
        <v>220</v>
      </c>
      <c r="D20" s="6">
        <v>15</v>
      </c>
      <c r="E20" s="6">
        <f>2+1+3</f>
        <v>6</v>
      </c>
      <c r="F20" s="6"/>
      <c r="G20" s="6"/>
    </row>
    <row r="21" spans="1:13" x14ac:dyDescent="0.75">
      <c r="A21" s="22" t="s">
        <v>56</v>
      </c>
      <c r="B21" s="6">
        <v>31</v>
      </c>
      <c r="C21" s="6">
        <v>221</v>
      </c>
      <c r="D21" s="6">
        <v>15</v>
      </c>
      <c r="E21" s="24" t="s">
        <v>70</v>
      </c>
      <c r="F21" s="6"/>
      <c r="G21" s="6"/>
      <c r="J21" s="2"/>
      <c r="K21" s="2"/>
      <c r="L21" s="2"/>
      <c r="M21" s="2"/>
    </row>
    <row r="22" spans="1:13" x14ac:dyDescent="0.75">
      <c r="A22" s="6" t="s">
        <v>57</v>
      </c>
      <c r="B22" s="6">
        <v>31</v>
      </c>
      <c r="C22" s="6">
        <v>130</v>
      </c>
      <c r="D22" s="6">
        <v>-1</v>
      </c>
      <c r="E22" s="24" t="s">
        <v>71</v>
      </c>
      <c r="F22" s="6"/>
      <c r="G22" s="6"/>
      <c r="J22" s="2"/>
      <c r="K22" s="2"/>
      <c r="L22" s="2"/>
      <c r="M22" s="2"/>
    </row>
    <row r="23" spans="1:13" x14ac:dyDescent="0.75">
      <c r="A23" s="6" t="s">
        <v>58</v>
      </c>
      <c r="B23" s="6">
        <v>31</v>
      </c>
      <c r="C23" s="6">
        <v>130</v>
      </c>
      <c r="D23" s="6">
        <v>0</v>
      </c>
      <c r="E23" s="6">
        <f>2+1+1</f>
        <v>4</v>
      </c>
      <c r="F23" s="6"/>
      <c r="G23" s="6"/>
      <c r="J23" s="2"/>
      <c r="K23" s="2"/>
      <c r="L23" s="2"/>
      <c r="M23" s="2"/>
    </row>
    <row r="24" spans="1:13" x14ac:dyDescent="0.75">
      <c r="A24" s="6" t="s">
        <v>59</v>
      </c>
      <c r="B24" s="6">
        <v>31</v>
      </c>
      <c r="C24" s="6">
        <v>130</v>
      </c>
      <c r="D24" s="6">
        <v>1</v>
      </c>
      <c r="E24" s="6">
        <f>2+1+1</f>
        <v>4</v>
      </c>
      <c r="F24" s="6"/>
      <c r="G24" s="6"/>
      <c r="J24" s="2"/>
      <c r="K24" s="2"/>
      <c r="L24" s="2"/>
      <c r="M24" s="2"/>
    </row>
    <row r="25" spans="1:13" x14ac:dyDescent="0.75">
      <c r="A25" s="6" t="s">
        <v>60</v>
      </c>
      <c r="B25" s="6">
        <v>31</v>
      </c>
      <c r="C25" s="6">
        <v>130</v>
      </c>
      <c r="D25" s="6">
        <v>29</v>
      </c>
      <c r="E25" s="6">
        <f>2+1+5</f>
        <v>8</v>
      </c>
      <c r="F25" s="6"/>
      <c r="G25" s="6"/>
      <c r="J25" s="2"/>
      <c r="K25" s="2"/>
      <c r="L25" s="2"/>
      <c r="M25" s="2"/>
    </row>
    <row r="26" spans="1:13" x14ac:dyDescent="0.75">
      <c r="A26" s="6" t="s">
        <v>61</v>
      </c>
      <c r="B26" s="6">
        <v>31</v>
      </c>
      <c r="C26" s="6">
        <v>130</v>
      </c>
      <c r="D26" s="6">
        <v>30</v>
      </c>
      <c r="E26" s="6">
        <f>2+1+5</f>
        <v>8</v>
      </c>
      <c r="F26" s="6"/>
      <c r="G26" s="6"/>
      <c r="J26" s="2"/>
      <c r="K26" s="2"/>
      <c r="L26" s="2"/>
      <c r="M26" s="2"/>
    </row>
    <row r="27" spans="1:13" x14ac:dyDescent="0.75">
      <c r="A27" s="6" t="s">
        <v>62</v>
      </c>
      <c r="B27" s="6">
        <v>31</v>
      </c>
      <c r="C27" s="6">
        <v>130</v>
      </c>
      <c r="D27" s="6">
        <v>31</v>
      </c>
      <c r="E27" s="24" t="s">
        <v>71</v>
      </c>
      <c r="F27" s="6"/>
      <c r="G27" s="6"/>
      <c r="J27" s="2"/>
    </row>
    <row r="28" spans="1:13" x14ac:dyDescent="0.75">
      <c r="J28" s="2"/>
      <c r="K28" s="2"/>
      <c r="L28" s="2"/>
      <c r="M28" s="2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3"/>
  <sheetViews>
    <sheetView workbookViewId="0">
      <selection activeCell="H16" sqref="H16"/>
    </sheetView>
  </sheetViews>
  <sheetFormatPr defaultColWidth="10.796875" defaultRowHeight="27" x14ac:dyDescent="0.75"/>
  <cols>
    <col min="1" max="16384" width="10.796875" style="1"/>
  </cols>
  <sheetData>
    <row r="2" spans="1:11" ht="54" x14ac:dyDescent="0.75">
      <c r="A2" s="9" t="s">
        <v>23</v>
      </c>
      <c r="B2" s="9" t="s">
        <v>24</v>
      </c>
      <c r="C2" s="9" t="s">
        <v>25</v>
      </c>
      <c r="D2" s="10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</row>
    <row r="3" spans="1:11" x14ac:dyDescent="0.75">
      <c r="A3" s="11">
        <v>1</v>
      </c>
      <c r="B3" s="11"/>
      <c r="C3" s="11"/>
      <c r="D3" s="12"/>
      <c r="E3" s="11"/>
      <c r="F3" s="11"/>
      <c r="G3" s="11"/>
      <c r="H3" s="11"/>
      <c r="I3" s="11"/>
      <c r="J3" s="11"/>
      <c r="K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Thanaphumi Tantummar</cp:lastModifiedBy>
  <dcterms:created xsi:type="dcterms:W3CDTF">2024-07-08T13:57:18Z</dcterms:created>
  <dcterms:modified xsi:type="dcterms:W3CDTF">2026-07-14T07:56:40Z</dcterms:modified>
</cp:coreProperties>
</file>